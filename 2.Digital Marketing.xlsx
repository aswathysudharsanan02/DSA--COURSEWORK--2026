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cb213c5f970f8/Desktop/New folder/"/>
    </mc:Choice>
  </mc:AlternateContent>
  <xr:revisionPtr revIDLastSave="358" documentId="8_{57458EE8-19BA-4052-999C-455819E69BFB}" xr6:coauthVersionLast="47" xr6:coauthVersionMax="47" xr10:uidLastSave="{DF504B19-D8B5-43D3-8F7C-CD7FE15AA2DD}"/>
  <bookViews>
    <workbookView xWindow="-108" yWindow="-108" windowWidth="23256" windowHeight="12456" xr2:uid="{CAD51468-030C-4DBB-A95B-E7EFFA2AE7BB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F41" i="2"/>
  <c r="F40" i="2"/>
  <c r="F39" i="2"/>
  <c r="D39" i="2"/>
  <c r="E41" i="2"/>
  <c r="E40" i="2"/>
  <c r="E39" i="2"/>
  <c r="D41" i="2"/>
  <c r="D40" i="2"/>
  <c r="C41" i="2"/>
  <c r="C40" i="2"/>
  <c r="C39" i="2"/>
  <c r="M22" i="2"/>
  <c r="L30" i="2" s="1"/>
  <c r="M23" i="2"/>
  <c r="L31" i="2" s="1"/>
  <c r="M24" i="2"/>
  <c r="L32" i="2" s="1"/>
  <c r="M25" i="2"/>
  <c r="J30" i="2" l="1"/>
  <c r="J31" i="2"/>
  <c r="J32" i="2"/>
  <c r="K32" i="2"/>
  <c r="K30" i="2"/>
  <c r="K31" i="2"/>
  <c r="J9" i="1"/>
</calcChain>
</file>

<file path=xl/sharedStrings.xml><?xml version="1.0" encoding="utf-8"?>
<sst xmlns="http://schemas.openxmlformats.org/spreadsheetml/2006/main" count="209" uniqueCount="88">
  <si>
    <t>Month</t>
  </si>
  <si>
    <t>Region</t>
  </si>
  <si>
    <t>Manager</t>
  </si>
  <si>
    <t>Sales_before_digital_add(in $)</t>
  </si>
  <si>
    <t>Sales_After_digital_add(in $)</t>
  </si>
  <si>
    <t>Month-1</t>
  </si>
  <si>
    <t>Region - A</t>
  </si>
  <si>
    <t>Manager - A</t>
  </si>
  <si>
    <t>Month-2</t>
  </si>
  <si>
    <t>Manager - C</t>
  </si>
  <si>
    <t>Month-3</t>
  </si>
  <si>
    <t>Region - B</t>
  </si>
  <si>
    <t>Month-4</t>
  </si>
  <si>
    <t>Manager - B</t>
  </si>
  <si>
    <t>Month-5</t>
  </si>
  <si>
    <t>Region - C</t>
  </si>
  <si>
    <t>Month-6</t>
  </si>
  <si>
    <t>Month-7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</si>
  <si>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</si>
  <si>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</si>
  <si>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</si>
  <si>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</si>
  <si>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</si>
  <si>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</si>
  <si>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</si>
  <si>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</si>
  <si>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</si>
  <si>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</si>
  <si>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</si>
  <si>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</si>
  <si>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</si>
  <si>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</si>
  <si>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DATA</t>
  </si>
  <si>
    <t>(a)   Increase in sale or not ?</t>
  </si>
  <si>
    <t>Sales after Average  =</t>
  </si>
  <si>
    <t>Sales before Average =</t>
  </si>
  <si>
    <t xml:space="preserve">The average sales after digital marketing is higher  than the average </t>
  </si>
  <si>
    <t xml:space="preserve">sales before digital marketing.Therefore, sales have  increased after </t>
  </si>
  <si>
    <t>implementing digital marketing.</t>
  </si>
  <si>
    <t>(b)  Dependency between Region and Manager</t>
  </si>
  <si>
    <t>Row Labels</t>
  </si>
  <si>
    <t>Grand Total</t>
  </si>
  <si>
    <t>Column Labels</t>
  </si>
  <si>
    <t>Count of Manager</t>
  </si>
  <si>
    <t>Using Paired T-TEST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</si>
  <si>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</si>
  <si>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</si>
  <si>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</si>
  <si>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</si>
  <si>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</si>
  <si>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</si>
  <si>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</si>
  <si>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</si>
  <si>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</si>
  <si>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</si>
  <si>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</si>
  <si>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</si>
  <si>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</si>
  <si>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</si>
  <si>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Column1</t>
  </si>
  <si>
    <t>Column2</t>
  </si>
  <si>
    <t>Column3</t>
  </si>
  <si>
    <t xml:space="preserve">The average sales after digital marketing are higher than before,indicates an </t>
  </si>
  <si>
    <t>increase. To verify this statistically,a paired t-test was conducted.Since the</t>
  </si>
  <si>
    <t xml:space="preserve">p-value is less than 0.05,the increase is statistically significant.So, digital marketing </t>
  </si>
  <si>
    <t>has led to significant rise in sales.</t>
  </si>
  <si>
    <t>Expected Frequency Table</t>
  </si>
  <si>
    <t>Applying CHI-SQUARE test</t>
  </si>
  <si>
    <t>Row Total</t>
  </si>
  <si>
    <t>Region A</t>
  </si>
  <si>
    <t>Region B</t>
  </si>
  <si>
    <t>Region C</t>
  </si>
  <si>
    <t>Column Total</t>
  </si>
  <si>
    <t>Creating Observed Frequency Table</t>
  </si>
  <si>
    <t>Region \ Manager</t>
  </si>
  <si>
    <t>Manager A</t>
  </si>
  <si>
    <t>Manager B</t>
  </si>
  <si>
    <t>Manager C</t>
  </si>
  <si>
    <t>(E)</t>
  </si>
  <si>
    <t>(O-E)^2/E</t>
  </si>
  <si>
    <t>(O)</t>
  </si>
  <si>
    <t>Sum</t>
  </si>
  <si>
    <t xml:space="preserve">Total Chi-square Value </t>
  </si>
  <si>
    <t>χ2=3.18</t>
  </si>
  <si>
    <t>Degrees of Freedom</t>
  </si>
  <si>
    <t>df=(3−1)(3−1)=4</t>
  </si>
  <si>
    <r>
      <t xml:space="preserve">Since χ² (3.18) &lt; 9.49, we </t>
    </r>
    <r>
      <rPr>
        <b/>
        <sz val="11"/>
        <color theme="1"/>
        <rFont val="Aptos Narrow"/>
        <family val="2"/>
        <scheme val="minor"/>
      </rPr>
      <t>fail to reject the null hypothesis</t>
    </r>
    <r>
      <rPr>
        <sz val="11"/>
        <color theme="1"/>
        <rFont val="Aptos Narrow"/>
        <family val="2"/>
        <scheme val="minor"/>
      </rPr>
      <t>.</t>
    </r>
  </si>
  <si>
    <r>
      <t xml:space="preserve">Therefore, </t>
    </r>
    <r>
      <rPr>
        <b/>
        <sz val="11"/>
        <color theme="1"/>
        <rFont val="Aptos Narrow"/>
        <family val="2"/>
        <scheme val="minor"/>
      </rPr>
      <t>there is no significant association between Region and Manager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</si>
</sst>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21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thy Sudharsanan" refreshedDate="46131.667990856484" createdVersion="8" refreshedVersion="8" minRefreshableVersion="3" recordCount="21" xr:uid="{CA0402DB-F609-4448-A7BA-FE2709D45141}">
  <cacheSource type="worksheet">
    <worksheetSource ref="B6:F25" sheet="Sheet2"/>
  </cacheSource>
  <cacheFields count="5">
    <cacheField name="Month" numFmtId="0">
      <sharedItems/>
    </cacheField>
    <cacheField name="Region" numFmtId="0">
      <sharedItems count="3">
        <s v="Region - A"/>
        <s v="Region - B"/>
        <s v="Region - C"/>
      </sharedItems>
    </cacheField>
    <cacheField name="Manager" numFmtId="0">
      <sharedItems count="3">
        <s v="Manager - A"/>
        <s v="Manager - C"/>
        <s v="Manager - B"/>
      </sharedItems>
    </cacheField>
    <cacheField name="Sales_before_digital_add(in $)" numFmtId="0">
      <sharedItems containsSemiMixedTypes="0" containsString="0" containsNumber="1" containsInteger="1" minValue="130263" maxValue="178939"/>
    </cacheField>
    <cacheField name="Sales_After_digital_add(in $)" numFmtId="0">
      <sharedItems containsSemiMixedTypes="0" containsString="0" containsNumber="1" containsInteger="1" minValue="187305" maxValue="2762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Month-1"/>
    <x v="0"/>
    <x v="0"/>
    <n v="132921"/>
    <n v="270390"/>
  </r>
  <r>
    <s v="Month-2"/>
    <x v="0"/>
    <x v="1"/>
    <n v="149559"/>
    <n v="223334"/>
  </r>
  <r>
    <s v="Month-3"/>
    <x v="1"/>
    <x v="0"/>
    <n v="146278"/>
    <n v="244243"/>
  </r>
  <r>
    <s v="Month-4"/>
    <x v="1"/>
    <x v="2"/>
    <n v="152167"/>
    <n v="231808"/>
  </r>
  <r>
    <s v="Month-5"/>
    <x v="2"/>
    <x v="2"/>
    <n v="159525"/>
    <n v="258402"/>
  </r>
  <r>
    <s v="Month-6"/>
    <x v="0"/>
    <x v="2"/>
    <n v="137163"/>
    <n v="256948"/>
  </r>
  <r>
    <s v="Month-7"/>
    <x v="2"/>
    <x v="1"/>
    <n v="130625"/>
    <n v="222106"/>
  </r>
  <r>
    <s v="Month-9"/>
    <x v="1"/>
    <x v="1"/>
    <n v="171259"/>
    <n v="226261"/>
  </r>
  <r>
    <s v="Month-10"/>
    <x v="2"/>
    <x v="2"/>
    <n v="141956"/>
    <n v="193735"/>
  </r>
  <r>
    <s v="Month-11"/>
    <x v="1"/>
    <x v="1"/>
    <n v="159339"/>
    <n v="203175"/>
  </r>
  <r>
    <s v="Month-12"/>
    <x v="0"/>
    <x v="0"/>
    <n v="178939"/>
    <n v="276279"/>
  </r>
  <r>
    <s v="Month-13"/>
    <x v="1"/>
    <x v="0"/>
    <n v="145062"/>
    <n v="205180"/>
  </r>
  <r>
    <s v="Month-14"/>
    <x v="0"/>
    <x v="0"/>
    <n v="151514"/>
    <n v="253131"/>
  </r>
  <r>
    <s v="Month-15"/>
    <x v="2"/>
    <x v="0"/>
    <n v="147463"/>
    <n v="229336"/>
  </r>
  <r>
    <s v="Month-16"/>
    <x v="0"/>
    <x v="2"/>
    <n v="177195"/>
    <n v="187305"/>
  </r>
  <r>
    <s v="Month-17"/>
    <x v="0"/>
    <x v="1"/>
    <n v="140862"/>
    <n v="234908"/>
  </r>
  <r>
    <s v="Month-18"/>
    <x v="2"/>
    <x v="2"/>
    <n v="167996"/>
    <n v="191517"/>
  </r>
  <r>
    <s v="Month-19"/>
    <x v="1"/>
    <x v="0"/>
    <n v="132135"/>
    <n v="227040"/>
  </r>
  <r>
    <s v="Month-20"/>
    <x v="0"/>
    <x v="2"/>
    <n v="152493"/>
    <n v="212579"/>
  </r>
  <r>
    <s v="Month-21"/>
    <x v="1"/>
    <x v="0"/>
    <n v="147425"/>
    <n v="263388"/>
  </r>
  <r>
    <s v="Month-22"/>
    <x v="0"/>
    <x v="1"/>
    <n v="130263"/>
    <n v="243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FA2A9-B300-4FDA-9083-FA62E3AFFA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M14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Manag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427E1-4E1C-42EA-BEC2-6AA90FD55007}" name="Table1" displayName="Table1" ref="B4:F25" totalsRowShown="0">
  <autoFilter ref="B4:F25" xr:uid="{B81427E1-4E1C-42EA-BEC2-6AA90FD55007}"/>
  <tableColumns count="5">
    <tableColumn id="1" xr3:uid="{E9135CCE-713B-4469-9F47-EA958CE8FE84}" name="Month"/>
    <tableColumn id="2" xr3:uid="{04A1A1E6-C38B-477E-B323-317D81120F81}" name="Region"/>
    <tableColumn id="3" xr3:uid="{AB55CF7D-EA7E-47B5-AE66-90BE09940EF9}" name="Manager"/>
    <tableColumn id="4" xr3:uid="{E775BB58-8D4A-42EB-9D6A-A9ACBEE29BE0}" name="Sales_before_digital_add(in $)"/>
    <tableColumn id="5" xr3:uid="{540589E5-ABC6-4E7E-9E6E-9A8F2936454C}" name="Sales_After_digital_add(in $)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9FF3F-6D57-49A7-8BCF-0642C559D36D}" name="Table3" displayName="Table3" ref="L23:N37" totalsRowShown="0" dataDxfId="4" tableBorderDxfId="3">
  <autoFilter ref="L23:N37" xr:uid="{CA59FF3F-6D57-49A7-8BCF-0642C559D36D}"/>
  <tableColumns count="3">
    <tableColumn id="1" xr3:uid="{56C0D3D1-3986-4078-8B2C-F72FB3C76869}" name="Column1" dataDxfId="2"/>
    <tableColumn id="2" xr3:uid="{C5A5D79F-143B-4F7D-A4B5-8AA66F328DC3}" name="Column2" dataDxfId="1"/>
    <tableColumn id="3" xr3:uid="{2865C755-8B85-4E31-8761-21D91634BD0F}" name="Column3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4CA41-6F43-4EF0-828B-45E8A880FF33}" name="Table13" displayName="Table13" ref="B6:F25" totalsRowShown="0">
  <autoFilter ref="B6:F25" xr:uid="{A8C4CA41-6F43-4EF0-828B-45E8A880FF33}"/>
  <tableColumns count="5">
    <tableColumn id="1" xr3:uid="{F3091E08-2DAD-4F63-B167-3913EC623F76}" name="Month"/>
    <tableColumn id="2" xr3:uid="{E739F5A7-1F16-4425-8B98-4EF6B4A3544B}" name="Region"/>
    <tableColumn id="3" xr3:uid="{FE8ACF87-DD65-4F91-8D36-2F85BC4B5CC1}" name="Manager"/>
    <tableColumn id="4" xr3:uid="{D9038E5A-4E74-42B5-A8B9-477F799FC5E5}" name="Sales_before_digital_add(in $)"/>
    <tableColumn id="5" xr3:uid="{6E4C5015-D1A1-465F-ACCF-97720FA403AC}" name="Sales_After_digital_add(in $)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A3D7F7-D357-4CE0-940E-EEF0BD2BF990}" name="Table4" displayName="Table4" ref="I21:M25" totalsRowShown="0" headerRowDxfId="20" dataDxfId="19">
  <autoFilter ref="I21:M25" xr:uid="{D4A3D7F7-D357-4CE0-940E-EEF0BD2BF990}"/>
  <tableColumns count="5">
    <tableColumn id="1" xr3:uid="{392A1666-916A-4978-84EC-71CCD1C576F1}" name="Region \ Manager" dataDxfId="18"/>
    <tableColumn id="2" xr3:uid="{8A7AB831-B627-4E16-9194-39D3B09A94AD}" name="Manager A" dataDxfId="17"/>
    <tableColumn id="3" xr3:uid="{9129C91C-70D5-4A27-B30B-362C011C19D0}" name="Manager B" dataDxfId="16"/>
    <tableColumn id="4" xr3:uid="{EF2027B3-8133-48F4-9ED2-5F78243A210B}" name="Manager C" dataDxfId="15"/>
    <tableColumn id="5" xr3:uid="{E5A30D31-7121-42E2-AAEB-77E96FB554E3}" name="Row Total" dataDxfId="14">
      <calculatedColumnFormula>SUM(Table4[[#This Row],[Manager A]:[Manager C]])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ED2300-45EF-4EE8-B1FA-0D1111B2817E}" name="Table5" displayName="Table5" ref="I29:L32" totalsRowShown="0" headerRowDxfId="13" dataDxfId="12">
  <autoFilter ref="I29:L32" xr:uid="{FAED2300-45EF-4EE8-B1FA-0D1111B2817E}"/>
  <tableColumns count="4">
    <tableColumn id="1" xr3:uid="{9F93820B-4BF3-4625-9AF0-6ADD8397E155}" name="Region \ Manager" dataDxfId="11"/>
    <tableColumn id="2" xr3:uid="{752815E1-3771-4E90-BFBE-BED2574670C9}" name="Manager A" dataDxfId="10">
      <calculatedColumnFormula>($M22*J25)/M25</calculatedColumnFormula>
    </tableColumn>
    <tableColumn id="3" xr3:uid="{D82CDD6E-FDB1-4C0F-9759-60FA03248B65}" name="Manager B" dataDxfId="9">
      <calculatedColumnFormula>($M22*$K25)/$M25</calculatedColumnFormula>
    </tableColumn>
    <tableColumn id="4" xr3:uid="{F4CE3072-6A32-43F1-8A24-91BF792B83A3}" name="Manager C" dataDxfId="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A4CBF6-B80C-4E83-8FA1-3E6717594CC5}" name="Table9" displayName="Table9" ref="B38:F41" totalsRowShown="0" headerRowDxfId="7">
  <autoFilter ref="B38:F41" xr:uid="{1EA4CBF6-B80C-4E83-8FA1-3E6717594CC5}"/>
  <tableColumns count="5">
    <tableColumn id="1" xr3:uid="{14820552-0BC8-4210-9CB7-3548087986B2}" name="Region \ Manager" dataDxfId="6"/>
    <tableColumn id="2" xr3:uid="{E715FCDA-6009-4EA3-B895-4D7C65933C67}" name="Manager A">
      <calculatedColumnFormula>(J22-J30)^2/J30</calculatedColumnFormula>
    </tableColumn>
    <tableColumn id="3" xr3:uid="{82AC6CA4-4A5C-41F1-898B-435B9E88D0D7}" name="Manager B">
      <calculatedColumnFormula>(K22-K30)^2/K30</calculatedColumnFormula>
    </tableColumn>
    <tableColumn id="4" xr3:uid="{4D015C3A-64F4-41D3-928E-24A74EA1002D}" name="Manager C" dataDxfId="5">
      <calculatedColumnFormula>(L22-L30)^2/L30</calculatedColumnFormula>
    </tableColumn>
    <tableColumn id="5" xr3:uid="{59A5FAF6-5269-44A8-87DE-8143E74C7D6D}" name="Sum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6896-F086-4A18-AF50-CF7573FEA8C0}">
  <dimension ref="B2:N42"/>
  <sheetViews>
    <sheetView tabSelected="1" workbookViewId="0">
      <selection activeCell="A2" sqref="A2"/>
    </sheetView>
  </sheetViews>
  <sheetFormatPr defaultRowHeight="14.4"/>
  <cols>
    <col min="2" max="2" width="12.33203125" customWidth="1"/>
    <col min="3" max="3" width="13.21875" customWidth="1"/>
    <col min="4" max="4" width="12.6640625" customWidth="1"/>
    <col min="5" max="5" width="14.109375" customWidth="1"/>
    <col min="6" max="6" width="13.6640625" customWidth="1"/>
    <col min="9" max="9" width="19.21875" customWidth="1"/>
    <col min="10" max="10" width="17.33203125" customWidth="1"/>
    <col min="11" max="11" width="3.6640625" customWidth="1"/>
    <col min="12" max="12" width="28.77734375" customWidth="1"/>
    <col min="13" max="13" width="13.109375" customWidth="1"/>
    <col min="14" max="14" width="17.88671875" customWidth="1"/>
  </cols>
  <sheetData>
    <row r="2" spans="2:10" ht="21">
      <c r="B2" s="4" t="s">
        <v>32</v>
      </c>
    </row>
    <row r="4" spans="2:10">
      <c r="B4" s="1" t="s">
        <v>0</v>
      </c>
      <c r="C4" s="1" t="s">
        <v>1</v>
      </c>
      <c r="D4" t="s">
        <v>2</v>
      </c>
      <c r="E4" t="s">
        <v>3</v>
      </c>
      <c r="F4" t="s">
        <v>4</v>
      </c>
    </row>
    <row r="5" spans="2:10" ht="21">
      <c r="B5" t="s">
        <v>5</v>
      </c>
      <c r="C5" t="s">
        <v>6</v>
      </c>
      <c r="D5" t="s">
        <v>7</v>
      </c>
      <c r="E5">
        <v>132921</v>
      </c>
      <c r="F5">
        <v>270390</v>
      </c>
      <c r="H5" s="5" t="s">
        <v>33</v>
      </c>
    </row>
    <row r="6" spans="2:10">
      <c r="B6" t="s">
        <v>8</v>
      </c>
      <c r="C6" t="s">
        <v>6</v>
      </c>
      <c r="D6" t="s">
        <v>9</v>
      </c>
      <c r="E6">
        <v>149559</v>
      </c>
      <c r="F6">
        <v>223334</v>
      </c>
    </row>
    <row r="7" spans="2:10">
      <c r="B7" t="s">
        <v>10</v>
      </c>
      <c r="C7" t="s">
        <v>11</v>
      </c>
      <c r="D7" t="s">
        <v>7</v>
      </c>
      <c r="E7">
        <v>146278</v>
      </c>
      <c r="F7">
        <v>244243</v>
      </c>
      <c r="H7" t="s">
        <v>34</v>
      </c>
      <c r="J7">
        <f>AVERAGE(F5:F25)</f>
        <v>231146.90476190476</v>
      </c>
    </row>
    <row r="8" spans="2:10">
      <c r="B8" t="s">
        <v>12</v>
      </c>
      <c r="C8" t="s">
        <v>11</v>
      </c>
      <c r="D8" t="s">
        <v>13</v>
      </c>
      <c r="E8">
        <v>152167</v>
      </c>
      <c r="F8">
        <v>231808</v>
      </c>
    </row>
    <row r="9" spans="2:10">
      <c r="B9" t="s">
        <v>14</v>
      </c>
      <c r="C9" t="s">
        <v>15</v>
      </c>
      <c r="D9" t="s">
        <v>13</v>
      </c>
      <c r="E9">
        <v>159525</v>
      </c>
      <c r="F9">
        <v>258402</v>
      </c>
      <c r="H9" t="s">
        <v>35</v>
      </c>
      <c r="J9">
        <f>AVERAGE(E5:E25)</f>
        <v>150101.85714285713</v>
      </c>
    </row>
    <row r="10" spans="2:10">
      <c r="B10" t="s">
        <v>16</v>
      </c>
      <c r="C10" t="s">
        <v>6</v>
      </c>
      <c r="D10" t="s">
        <v>13</v>
      </c>
      <c r="E10">
        <v>137163</v>
      </c>
      <c r="F10">
        <v>256948</v>
      </c>
    </row>
    <row r="11" spans="2:10">
      <c r="B11" t="s">
        <v>17</v>
      </c>
      <c r="C11" t="s">
        <v>15</v>
      </c>
      <c r="D11" t="s">
        <v>9</v>
      </c>
      <c r="E11">
        <v>130625</v>
      </c>
      <c r="F11">
        <v>222106</v>
      </c>
    </row>
    <row r="12" spans="2:10">
      <c r="B12" t="s">
        <v>18</v>
      </c>
      <c r="C12" t="s">
        <v>11</v>
      </c>
      <c r="D12" t="s">
        <v>9</v>
      </c>
      <c r="E12">
        <v>171259</v>
      </c>
      <c r="F12">
        <v>226261</v>
      </c>
      <c r="H12" t="s">
        <v>36</v>
      </c>
    </row>
    <row r="13" spans="2:10">
      <c r="B13" t="s">
        <v>19</v>
      </c>
      <c r="C13" t="s">
        <v>15</v>
      </c>
      <c r="D13" t="s">
        <v>13</v>
      </c>
      <c r="E13">
        <v>141956</v>
      </c>
      <c r="F13">
        <v>193735</v>
      </c>
      <c r="H13" t="s">
        <v>37</v>
      </c>
    </row>
    <row r="14" spans="2:10">
      <c r="B14" t="s">
        <v>20</v>
      </c>
      <c r="C14" t="s">
        <v>11</v>
      </c>
      <c r="D14" t="s">
        <v>9</v>
      </c>
      <c r="E14">
        <v>159339</v>
      </c>
      <c r="F14">
        <v>203175</v>
      </c>
      <c r="H14" t="s">
        <v>38</v>
      </c>
    </row>
    <row r="15" spans="2:10">
      <c r="B15" t="s">
        <v>21</v>
      </c>
      <c r="C15" t="s">
        <v>6</v>
      </c>
      <c r="D15" t="s">
        <v>7</v>
      </c>
      <c r="E15">
        <v>178939</v>
      </c>
      <c r="F15">
        <v>276279</v>
      </c>
    </row>
    <row r="16" spans="2:10">
      <c r="B16" t="s">
        <v>22</v>
      </c>
      <c r="C16" t="s">
        <v>11</v>
      </c>
      <c r="D16" t="s">
        <v>7</v>
      </c>
      <c r="E16">
        <v>145062</v>
      </c>
      <c r="F16">
        <v>205180</v>
      </c>
    </row>
    <row r="17" spans="2:14" ht="21">
      <c r="B17" t="s">
        <v>23</v>
      </c>
      <c r="C17" t="s">
        <v>6</v>
      </c>
      <c r="D17" t="s">
        <v>7</v>
      </c>
      <c r="E17">
        <v>151514</v>
      </c>
      <c r="F17">
        <v>253131</v>
      </c>
      <c r="I17" s="4" t="s">
        <v>44</v>
      </c>
      <c r="J17" s="9"/>
    </row>
    <row r="18" spans="2:14">
      <c r="B18" t="s">
        <v>24</v>
      </c>
      <c r="C18" t="s">
        <v>15</v>
      </c>
      <c r="D18" t="s">
        <v>7</v>
      </c>
      <c r="E18">
        <v>147463</v>
      </c>
      <c r="F18">
        <v>229336</v>
      </c>
    </row>
    <row r="19" spans="2:14">
      <c r="B19" t="s">
        <v>25</v>
      </c>
      <c r="C19" t="s">
        <v>6</v>
      </c>
      <c r="D19" t="s">
        <v>13</v>
      </c>
      <c r="E19">
        <v>177195</v>
      </c>
      <c r="F19">
        <v>187305</v>
      </c>
    </row>
    <row r="20" spans="2:14">
      <c r="B20" t="s">
        <v>26</v>
      </c>
      <c r="C20" t="s">
        <v>6</v>
      </c>
      <c r="D20" t="s">
        <v>9</v>
      </c>
      <c r="E20">
        <v>140862</v>
      </c>
      <c r="F20">
        <v>234908</v>
      </c>
      <c r="I20" s="2" t="s">
        <v>3</v>
      </c>
      <c r="J20" s="3" t="s">
        <v>4</v>
      </c>
    </row>
    <row r="21" spans="2:14">
      <c r="B21" t="s">
        <v>27</v>
      </c>
      <c r="C21" t="s">
        <v>15</v>
      </c>
      <c r="D21" t="s">
        <v>13</v>
      </c>
      <c r="E21">
        <v>167996</v>
      </c>
      <c r="F21">
        <v>191517</v>
      </c>
      <c r="I21" s="10">
        <v>132921</v>
      </c>
      <c r="J21" s="11">
        <v>270390</v>
      </c>
    </row>
    <row r="22" spans="2:14">
      <c r="B22" t="s">
        <v>28</v>
      </c>
      <c r="C22" t="s">
        <v>11</v>
      </c>
      <c r="D22" t="s">
        <v>7</v>
      </c>
      <c r="E22">
        <v>132135</v>
      </c>
      <c r="F22">
        <v>227040</v>
      </c>
      <c r="I22" s="12">
        <v>149559</v>
      </c>
      <c r="J22" s="13">
        <v>223334</v>
      </c>
    </row>
    <row r="23" spans="2:14">
      <c r="B23" t="s">
        <v>29</v>
      </c>
      <c r="C23" t="s">
        <v>6</v>
      </c>
      <c r="D23" t="s">
        <v>13</v>
      </c>
      <c r="E23">
        <v>152493</v>
      </c>
      <c r="F23">
        <v>212579</v>
      </c>
      <c r="I23" s="10">
        <v>146278</v>
      </c>
      <c r="J23" s="11">
        <v>244243</v>
      </c>
      <c r="L23" t="s">
        <v>59</v>
      </c>
      <c r="M23" t="s">
        <v>60</v>
      </c>
      <c r="N23" t="s">
        <v>61</v>
      </c>
    </row>
    <row r="24" spans="2:14">
      <c r="B24" t="s">
        <v>30</v>
      </c>
      <c r="C24" t="s">
        <v>11</v>
      </c>
      <c r="D24" t="s">
        <v>7</v>
      </c>
      <c r="E24">
        <v>147425</v>
      </c>
      <c r="F24">
        <v>263388</v>
      </c>
      <c r="I24" s="12">
        <v>152167</v>
      </c>
      <c r="J24" s="13">
        <v>231808</v>
      </c>
      <c r="L24" s="15" t="s">
        <v>45</v>
      </c>
      <c r="M24" s="15"/>
      <c r="N24" s="15"/>
    </row>
    <row r="25" spans="2:14" ht="15" thickBot="1">
      <c r="B25" t="s">
        <v>31</v>
      </c>
      <c r="C25" t="s">
        <v>6</v>
      </c>
      <c r="D25" t="s">
        <v>9</v>
      </c>
      <c r="E25">
        <v>130263</v>
      </c>
      <c r="F25">
        <v>243020</v>
      </c>
      <c r="I25" s="10">
        <v>159525</v>
      </c>
      <c r="J25" s="11">
        <v>258402</v>
      </c>
    </row>
    <row r="26" spans="2:14">
      <c r="I26" s="12">
        <v>137163</v>
      </c>
      <c r="J26" s="13">
        <v>256948</v>
      </c>
      <c r="L26" s="14"/>
      <c r="M26" s="14" t="s">
        <v>46</v>
      </c>
      <c r="N26" s="14" t="s">
        <v>47</v>
      </c>
    </row>
    <row r="27" spans="2:14">
      <c r="I27" s="10">
        <v>130625</v>
      </c>
      <c r="J27" s="11">
        <v>222106</v>
      </c>
      <c r="L27" t="s">
        <v>48</v>
      </c>
      <c r="M27">
        <v>150101.85714285713</v>
      </c>
      <c r="N27">
        <v>231146.90476190476</v>
      </c>
    </row>
    <row r="28" spans="2:14">
      <c r="I28" s="12">
        <v>171259</v>
      </c>
      <c r="J28" s="13">
        <v>226261</v>
      </c>
      <c r="L28" t="s">
        <v>49</v>
      </c>
      <c r="M28">
        <v>214202453.12857145</v>
      </c>
      <c r="N28">
        <v>685793887.19047856</v>
      </c>
    </row>
    <row r="29" spans="2:14">
      <c r="I29" s="10">
        <v>141956</v>
      </c>
      <c r="J29" s="11">
        <v>193735</v>
      </c>
      <c r="L29" t="s">
        <v>50</v>
      </c>
      <c r="M29">
        <v>21</v>
      </c>
      <c r="N29">
        <v>21</v>
      </c>
    </row>
    <row r="30" spans="2:14">
      <c r="I30" s="12">
        <v>159339</v>
      </c>
      <c r="J30" s="13">
        <v>203175</v>
      </c>
      <c r="L30" t="s">
        <v>51</v>
      </c>
      <c r="M30">
        <v>-0.18689271706337901</v>
      </c>
    </row>
    <row r="31" spans="2:14">
      <c r="I31" s="10">
        <v>178939</v>
      </c>
      <c r="J31" s="11">
        <v>276279</v>
      </c>
      <c r="L31" t="s">
        <v>52</v>
      </c>
      <c r="M31">
        <v>0</v>
      </c>
    </row>
    <row r="32" spans="2:14">
      <c r="I32" s="12">
        <v>145062</v>
      </c>
      <c r="J32" s="13">
        <v>205180</v>
      </c>
      <c r="L32" t="s">
        <v>53</v>
      </c>
      <c r="M32">
        <v>20</v>
      </c>
    </row>
    <row r="33" spans="9:13">
      <c r="I33" s="10">
        <v>151514</v>
      </c>
      <c r="J33" s="11">
        <v>253131</v>
      </c>
      <c r="L33" t="s">
        <v>54</v>
      </c>
      <c r="M33">
        <v>-11.498472999904248</v>
      </c>
    </row>
    <row r="34" spans="9:13">
      <c r="I34" s="12">
        <v>147463</v>
      </c>
      <c r="J34" s="13">
        <v>229336</v>
      </c>
      <c r="L34" t="s">
        <v>55</v>
      </c>
      <c r="M34">
        <v>1.4399408336501875E-10</v>
      </c>
    </row>
    <row r="35" spans="9:13">
      <c r="I35" s="10">
        <v>177195</v>
      </c>
      <c r="J35" s="11">
        <v>187305</v>
      </c>
      <c r="L35" t="s">
        <v>56</v>
      </c>
      <c r="M35">
        <v>1.7247182429207868</v>
      </c>
    </row>
    <row r="36" spans="9:13">
      <c r="I36" s="12">
        <v>140862</v>
      </c>
      <c r="J36" s="13">
        <v>234908</v>
      </c>
      <c r="L36" t="s">
        <v>57</v>
      </c>
      <c r="M36">
        <v>2.879881667300375E-10</v>
      </c>
    </row>
    <row r="37" spans="9:13">
      <c r="I37" s="10">
        <v>167996</v>
      </c>
      <c r="J37" s="11">
        <v>191517</v>
      </c>
      <c r="L37" t="s">
        <v>58</v>
      </c>
      <c r="M37">
        <v>2.0859634472658648</v>
      </c>
    </row>
    <row r="38" spans="9:13">
      <c r="I38" s="12">
        <v>132135</v>
      </c>
      <c r="J38" s="13">
        <v>227040</v>
      </c>
    </row>
    <row r="39" spans="9:13">
      <c r="I39" s="10">
        <v>152493</v>
      </c>
      <c r="J39" s="11">
        <v>212579</v>
      </c>
      <c r="L39" t="s">
        <v>62</v>
      </c>
    </row>
    <row r="40" spans="9:13">
      <c r="I40" s="12">
        <v>147425</v>
      </c>
      <c r="J40" s="13">
        <v>263388</v>
      </c>
      <c r="L40" t="s">
        <v>63</v>
      </c>
    </row>
    <row r="41" spans="9:13">
      <c r="I41" s="10">
        <v>130263</v>
      </c>
      <c r="J41" s="11">
        <v>243020</v>
      </c>
      <c r="L41" t="s">
        <v>64</v>
      </c>
    </row>
    <row r="42" spans="9:13">
      <c r="L42" t="s">
        <v>65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2D5F-129F-4724-8C49-CE2FEB45E706}">
  <dimension ref="B3:P53"/>
  <sheetViews>
    <sheetView workbookViewId="0">
      <selection activeCell="D14" sqref="D14"/>
    </sheetView>
  </sheetViews>
  <sheetFormatPr defaultRowHeight="14.4"/>
  <cols>
    <col min="2" max="2" width="16.77734375" customWidth="1"/>
    <col min="3" max="4" width="12" customWidth="1"/>
    <col min="5" max="5" width="14.6640625" customWidth="1"/>
    <col min="6" max="6" width="13" customWidth="1"/>
    <col min="9" max="9" width="16.77734375" customWidth="1"/>
    <col min="10" max="10" width="15.5546875" bestFit="1" customWidth="1"/>
    <col min="11" max="11" width="14.44140625" customWidth="1"/>
    <col min="12" max="12" width="14.109375" customWidth="1"/>
    <col min="13" max="13" width="10.77734375" customWidth="1"/>
    <col min="14" max="14" width="25.88671875" customWidth="1"/>
    <col min="15" max="15" width="18.44140625" customWidth="1"/>
    <col min="16" max="16" width="10.33203125" customWidth="1"/>
  </cols>
  <sheetData>
    <row r="3" spans="2:13" ht="18">
      <c r="B3" s="6" t="s">
        <v>39</v>
      </c>
    </row>
    <row r="6" spans="2:13">
      <c r="B6" s="1" t="s">
        <v>0</v>
      </c>
      <c r="C6" s="1" t="s">
        <v>1</v>
      </c>
      <c r="D6" t="s">
        <v>2</v>
      </c>
      <c r="E6" t="s">
        <v>3</v>
      </c>
      <c r="F6" t="s">
        <v>4</v>
      </c>
    </row>
    <row r="7" spans="2:13">
      <c r="B7" t="s">
        <v>5</v>
      </c>
      <c r="C7" t="s">
        <v>6</v>
      </c>
      <c r="D7" t="s">
        <v>7</v>
      </c>
      <c r="E7">
        <v>132921</v>
      </c>
      <c r="F7">
        <v>270390</v>
      </c>
    </row>
    <row r="8" spans="2:13">
      <c r="B8" t="s">
        <v>8</v>
      </c>
      <c r="C8" t="s">
        <v>6</v>
      </c>
      <c r="D8" t="s">
        <v>9</v>
      </c>
      <c r="E8">
        <v>149559</v>
      </c>
      <c r="F8">
        <v>223334</v>
      </c>
    </row>
    <row r="9" spans="2:13">
      <c r="B9" t="s">
        <v>10</v>
      </c>
      <c r="C9" t="s">
        <v>11</v>
      </c>
      <c r="D9" t="s">
        <v>7</v>
      </c>
      <c r="E9">
        <v>146278</v>
      </c>
      <c r="F9">
        <v>244243</v>
      </c>
      <c r="I9" s="7" t="s">
        <v>43</v>
      </c>
      <c r="J9" s="7" t="s">
        <v>42</v>
      </c>
    </row>
    <row r="10" spans="2:13">
      <c r="B10" t="s">
        <v>12</v>
      </c>
      <c r="C10" t="s">
        <v>11</v>
      </c>
      <c r="D10" t="s">
        <v>13</v>
      </c>
      <c r="E10">
        <v>152167</v>
      </c>
      <c r="F10">
        <v>231808</v>
      </c>
      <c r="I10" s="7" t="s">
        <v>40</v>
      </c>
      <c r="J10" t="s">
        <v>7</v>
      </c>
      <c r="K10" t="s">
        <v>13</v>
      </c>
      <c r="L10" t="s">
        <v>9</v>
      </c>
      <c r="M10" t="s">
        <v>41</v>
      </c>
    </row>
    <row r="11" spans="2:13">
      <c r="B11" t="s">
        <v>14</v>
      </c>
      <c r="C11" t="s">
        <v>15</v>
      </c>
      <c r="D11" t="s">
        <v>13</v>
      </c>
      <c r="E11">
        <v>159525</v>
      </c>
      <c r="F11">
        <v>258402</v>
      </c>
      <c r="I11" s="8" t="s">
        <v>6</v>
      </c>
      <c r="J11">
        <v>3</v>
      </c>
      <c r="K11">
        <v>3</v>
      </c>
      <c r="L11">
        <v>3</v>
      </c>
      <c r="M11">
        <v>9</v>
      </c>
    </row>
    <row r="12" spans="2:13">
      <c r="B12" t="s">
        <v>16</v>
      </c>
      <c r="C12" t="s">
        <v>6</v>
      </c>
      <c r="D12" t="s">
        <v>13</v>
      </c>
      <c r="E12">
        <v>137163</v>
      </c>
      <c r="F12">
        <v>256948</v>
      </c>
      <c r="I12" s="8" t="s">
        <v>11</v>
      </c>
      <c r="J12">
        <v>4</v>
      </c>
      <c r="K12">
        <v>1</v>
      </c>
      <c r="L12">
        <v>2</v>
      </c>
      <c r="M12">
        <v>7</v>
      </c>
    </row>
    <row r="13" spans="2:13">
      <c r="B13" t="s">
        <v>17</v>
      </c>
      <c r="C13" t="s">
        <v>15</v>
      </c>
      <c r="D13" t="s">
        <v>9</v>
      </c>
      <c r="E13">
        <v>130625</v>
      </c>
      <c r="F13">
        <v>222106</v>
      </c>
      <c r="I13" s="8" t="s">
        <v>15</v>
      </c>
      <c r="J13">
        <v>1</v>
      </c>
      <c r="K13">
        <v>3</v>
      </c>
      <c r="L13">
        <v>1</v>
      </c>
      <c r="M13">
        <v>5</v>
      </c>
    </row>
    <row r="14" spans="2:13">
      <c r="B14" t="s">
        <v>18</v>
      </c>
      <c r="C14" t="s">
        <v>11</v>
      </c>
      <c r="D14" t="s">
        <v>9</v>
      </c>
      <c r="E14">
        <v>171259</v>
      </c>
      <c r="F14">
        <v>226261</v>
      </c>
      <c r="I14" s="8" t="s">
        <v>41</v>
      </c>
      <c r="J14">
        <v>8</v>
      </c>
      <c r="K14">
        <v>7</v>
      </c>
      <c r="L14">
        <v>6</v>
      </c>
      <c r="M14">
        <v>21</v>
      </c>
    </row>
    <row r="15" spans="2:13">
      <c r="B15" t="s">
        <v>19</v>
      </c>
      <c r="C15" t="s">
        <v>15</v>
      </c>
      <c r="D15" t="s">
        <v>13</v>
      </c>
      <c r="E15">
        <v>141956</v>
      </c>
      <c r="F15">
        <v>193735</v>
      </c>
    </row>
    <row r="16" spans="2:13">
      <c r="B16" t="s">
        <v>20</v>
      </c>
      <c r="C16" t="s">
        <v>11</v>
      </c>
      <c r="D16" t="s">
        <v>9</v>
      </c>
      <c r="E16">
        <v>159339</v>
      </c>
      <c r="F16">
        <v>203175</v>
      </c>
    </row>
    <row r="17" spans="2:13">
      <c r="B17" t="s">
        <v>21</v>
      </c>
      <c r="C17" t="s">
        <v>6</v>
      </c>
      <c r="D17" t="s">
        <v>7</v>
      </c>
      <c r="E17">
        <v>178939</v>
      </c>
      <c r="F17">
        <v>276279</v>
      </c>
      <c r="I17" s="8"/>
    </row>
    <row r="18" spans="2:13">
      <c r="B18" t="s">
        <v>22</v>
      </c>
      <c r="C18" t="s">
        <v>11</v>
      </c>
      <c r="D18" t="s">
        <v>7</v>
      </c>
      <c r="E18">
        <v>145062</v>
      </c>
      <c r="F18">
        <v>205180</v>
      </c>
    </row>
    <row r="19" spans="2:13" ht="21">
      <c r="B19" t="s">
        <v>24</v>
      </c>
      <c r="C19" t="s">
        <v>15</v>
      </c>
      <c r="D19" t="s">
        <v>7</v>
      </c>
      <c r="E19">
        <v>147463</v>
      </c>
      <c r="F19">
        <v>229336</v>
      </c>
      <c r="I19" s="19" t="s">
        <v>73</v>
      </c>
      <c r="L19" s="5" t="s">
        <v>80</v>
      </c>
    </row>
    <row r="20" spans="2:13">
      <c r="B20" t="s">
        <v>25</v>
      </c>
      <c r="C20" t="s">
        <v>6</v>
      </c>
      <c r="D20" t="s">
        <v>13</v>
      </c>
      <c r="E20">
        <v>177195</v>
      </c>
      <c r="F20">
        <v>187305</v>
      </c>
    </row>
    <row r="21" spans="2:13">
      <c r="B21" t="s">
        <v>26</v>
      </c>
      <c r="C21" t="s">
        <v>6</v>
      </c>
      <c r="D21" t="s">
        <v>9</v>
      </c>
      <c r="E21">
        <v>140862</v>
      </c>
      <c r="F21">
        <v>234908</v>
      </c>
      <c r="I21" s="16" t="s">
        <v>74</v>
      </c>
      <c r="J21" s="16" t="s">
        <v>75</v>
      </c>
      <c r="K21" s="16" t="s">
        <v>76</v>
      </c>
      <c r="L21" s="16" t="s">
        <v>77</v>
      </c>
      <c r="M21" s="16" t="s">
        <v>68</v>
      </c>
    </row>
    <row r="22" spans="2:13">
      <c r="B22" t="s">
        <v>27</v>
      </c>
      <c r="C22" t="s">
        <v>15</v>
      </c>
      <c r="D22" t="s">
        <v>13</v>
      </c>
      <c r="E22">
        <v>167996</v>
      </c>
      <c r="F22">
        <v>191517</v>
      </c>
      <c r="I22" s="17" t="s">
        <v>69</v>
      </c>
      <c r="J22" s="17">
        <v>3</v>
      </c>
      <c r="K22" s="17">
        <v>3</v>
      </c>
      <c r="L22" s="17">
        <v>3</v>
      </c>
      <c r="M22" s="17">
        <f>SUM(Table4[[#This Row],[Manager A]:[Manager C]])</f>
        <v>9</v>
      </c>
    </row>
    <row r="23" spans="2:13">
      <c r="B23" t="s">
        <v>28</v>
      </c>
      <c r="C23" t="s">
        <v>11</v>
      </c>
      <c r="D23" t="s">
        <v>7</v>
      </c>
      <c r="E23">
        <v>132135</v>
      </c>
      <c r="F23">
        <v>227040</v>
      </c>
      <c r="I23" s="17" t="s">
        <v>70</v>
      </c>
      <c r="J23" s="17">
        <v>4</v>
      </c>
      <c r="K23" s="17">
        <v>1</v>
      </c>
      <c r="L23" s="17">
        <v>2</v>
      </c>
      <c r="M23" s="17">
        <f>SUM(Table4[[#This Row],[Manager A]:[Manager C]])</f>
        <v>7</v>
      </c>
    </row>
    <row r="24" spans="2:13">
      <c r="B24" t="s">
        <v>29</v>
      </c>
      <c r="C24" t="s">
        <v>6</v>
      </c>
      <c r="D24" t="s">
        <v>13</v>
      </c>
      <c r="E24">
        <v>152493</v>
      </c>
      <c r="F24">
        <v>212579</v>
      </c>
      <c r="I24" s="17" t="s">
        <v>71</v>
      </c>
      <c r="J24" s="17">
        <v>1</v>
      </c>
      <c r="K24" s="17">
        <v>3</v>
      </c>
      <c r="L24" s="17">
        <v>1</v>
      </c>
      <c r="M24" s="17">
        <f>SUM(Table4[[#This Row],[Manager A]:[Manager C]])</f>
        <v>5</v>
      </c>
    </row>
    <row r="25" spans="2:13">
      <c r="B25" t="s">
        <v>30</v>
      </c>
      <c r="C25" t="s">
        <v>11</v>
      </c>
      <c r="D25" t="s">
        <v>7</v>
      </c>
      <c r="E25">
        <v>147425</v>
      </c>
      <c r="F25">
        <v>263388</v>
      </c>
      <c r="I25" s="20" t="s">
        <v>72</v>
      </c>
      <c r="J25" s="17">
        <v>8</v>
      </c>
      <c r="K25" s="17">
        <v>7</v>
      </c>
      <c r="L25" s="17">
        <v>6</v>
      </c>
      <c r="M25" s="17">
        <f>SUM(Table4[[#This Row],[Manager A]:[Manager C]])</f>
        <v>21</v>
      </c>
    </row>
    <row r="27" spans="2:13" ht="21">
      <c r="I27" s="6" t="s">
        <v>66</v>
      </c>
      <c r="K27" s="9" t="s">
        <v>78</v>
      </c>
    </row>
    <row r="29" spans="2:13">
      <c r="I29" s="16" t="s">
        <v>74</v>
      </c>
      <c r="J29" s="16" t="s">
        <v>75</v>
      </c>
      <c r="K29" s="16" t="s">
        <v>76</v>
      </c>
      <c r="L29" s="16" t="s">
        <v>77</v>
      </c>
    </row>
    <row r="30" spans="2:13">
      <c r="I30" s="17" t="s">
        <v>69</v>
      </c>
      <c r="J30" s="17">
        <f t="shared" ref="J30" si="0">($M22*J25)/M25</f>
        <v>3.4285714285714284</v>
      </c>
      <c r="K30" s="17">
        <f t="shared" ref="K30" si="1">($M22*$K25)/$M25</f>
        <v>3</v>
      </c>
      <c r="L30" s="17">
        <f>($M22*$L25)/$M25</f>
        <v>2.5714285714285716</v>
      </c>
    </row>
    <row r="31" spans="2:13">
      <c r="I31" s="17" t="s">
        <v>70</v>
      </c>
      <c r="J31" s="17">
        <f>(M23*J25)/$M25</f>
        <v>2.6666666666666665</v>
      </c>
      <c r="K31" s="17">
        <f>($M23*$K25)/$M25</f>
        <v>2.3333333333333335</v>
      </c>
      <c r="L31" s="17">
        <f>($M23*$L25)/$M25</f>
        <v>2</v>
      </c>
    </row>
    <row r="32" spans="2:13">
      <c r="I32" s="17" t="s">
        <v>71</v>
      </c>
      <c r="J32" s="17">
        <f>($M24*J25)/$M25</f>
        <v>1.9047619047619047</v>
      </c>
      <c r="K32" s="17">
        <f>($M24*$L25)/$M25</f>
        <v>1.4285714285714286</v>
      </c>
      <c r="L32" s="17">
        <f>($M24*$L25)/$M25</f>
        <v>1.4285714285714286</v>
      </c>
    </row>
    <row r="34" spans="2:16" ht="21">
      <c r="B34" s="6" t="s">
        <v>67</v>
      </c>
      <c r="D34" s="9"/>
      <c r="E34" s="9" t="s">
        <v>79</v>
      </c>
      <c r="I34" s="6"/>
      <c r="K34" s="9"/>
    </row>
    <row r="35" spans="2:16">
      <c r="B35" s="17"/>
      <c r="G35" s="20"/>
      <c r="H35" s="17"/>
      <c r="I35" s="17"/>
    </row>
    <row r="36" spans="2:16">
      <c r="I36" s="17"/>
      <c r="J36" s="16"/>
      <c r="K36" s="16"/>
      <c r="L36" s="16"/>
      <c r="M36" s="16"/>
    </row>
    <row r="37" spans="2:16">
      <c r="J37" s="17"/>
      <c r="K37" s="17"/>
      <c r="L37" s="17"/>
      <c r="M37" s="17"/>
      <c r="N37" s="16"/>
      <c r="O37" s="16"/>
      <c r="P37" s="16"/>
    </row>
    <row r="38" spans="2:16" ht="18">
      <c r="B38" s="16" t="s">
        <v>74</v>
      </c>
      <c r="C38" s="16" t="s">
        <v>75</v>
      </c>
      <c r="D38" s="16" t="s">
        <v>76</v>
      </c>
      <c r="E38" s="16" t="s">
        <v>77</v>
      </c>
      <c r="F38" s="6" t="s">
        <v>81</v>
      </c>
      <c r="J38" s="17"/>
      <c r="K38" s="17"/>
      <c r="L38" s="17"/>
      <c r="M38" s="18"/>
      <c r="N38" s="17"/>
      <c r="O38" s="17"/>
      <c r="P38" s="17"/>
    </row>
    <row r="39" spans="2:16">
      <c r="B39" s="17" t="s">
        <v>69</v>
      </c>
      <c r="C39" s="17">
        <f t="shared" ref="C39:E41" si="2">(J22-J30)^2/J30</f>
        <v>5.3571428571428527E-2</v>
      </c>
      <c r="D39">
        <f t="shared" si="2"/>
        <v>0</v>
      </c>
      <c r="E39" s="17">
        <f t="shared" si="2"/>
        <v>7.1428571428571369E-2</v>
      </c>
      <c r="F39">
        <f>SUM(C39:E39)</f>
        <v>0.12499999999999989</v>
      </c>
      <c r="J39" s="17"/>
      <c r="K39" s="17"/>
      <c r="L39" s="17"/>
      <c r="M39" s="18"/>
      <c r="N39" s="17"/>
      <c r="O39" s="17"/>
      <c r="P39" s="18"/>
    </row>
    <row r="40" spans="2:16">
      <c r="B40" s="17" t="s">
        <v>70</v>
      </c>
      <c r="C40" s="17">
        <f t="shared" si="2"/>
        <v>0.66666666666666685</v>
      </c>
      <c r="D40" s="17">
        <f t="shared" si="2"/>
        <v>0.76190476190476197</v>
      </c>
      <c r="E40" s="17">
        <f t="shared" si="2"/>
        <v>0</v>
      </c>
      <c r="F40">
        <f>SUM(C40:E40)</f>
        <v>1.4285714285714288</v>
      </c>
      <c r="J40" s="17"/>
      <c r="K40" s="17"/>
      <c r="L40" s="17"/>
      <c r="M40" s="18"/>
      <c r="N40" s="17"/>
      <c r="O40" s="17"/>
      <c r="P40" s="18"/>
    </row>
    <row r="41" spans="2:16">
      <c r="B41" s="17" t="s">
        <v>71</v>
      </c>
      <c r="C41">
        <f t="shared" si="2"/>
        <v>0.42976190476190468</v>
      </c>
      <c r="D41" s="17">
        <f t="shared" si="2"/>
        <v>1.7285714285714284</v>
      </c>
      <c r="E41" s="17">
        <f t="shared" si="2"/>
        <v>0.12857142857142859</v>
      </c>
      <c r="F41">
        <f>SUM(F39:F40)</f>
        <v>1.5535714285714288</v>
      </c>
      <c r="J41" s="18"/>
      <c r="K41" s="18"/>
      <c r="L41" s="18"/>
      <c r="M41" s="18"/>
      <c r="N41" s="17"/>
      <c r="O41" s="17"/>
      <c r="P41" s="18"/>
    </row>
    <row r="42" spans="2:16">
      <c r="L42" s="17"/>
      <c r="M42" s="18"/>
      <c r="N42" s="18"/>
      <c r="O42" s="18"/>
      <c r="P42" s="18"/>
    </row>
    <row r="43" spans="2:16">
      <c r="B43" t="s">
        <v>82</v>
      </c>
    </row>
    <row r="45" spans="2:16">
      <c r="B45" t="s">
        <v>83</v>
      </c>
    </row>
    <row r="47" spans="2:16">
      <c r="B47" t="s">
        <v>84</v>
      </c>
    </row>
    <row r="49" spans="2:2">
      <c r="B49" t="s">
        <v>85</v>
      </c>
    </row>
    <row r="52" spans="2:2">
      <c r="B52" t="s">
        <v>86</v>
      </c>
    </row>
    <row r="53" spans="2:2">
      <c r="B53" t="s">
        <v>87</v>
      </c>
    </row>
  </sheetData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Sudharsanan</dc:creator>
  <cp:lastModifiedBy>Aswathy Sudharsanan</cp:lastModifiedBy>
  <dcterms:created xsi:type="dcterms:W3CDTF">2026-04-19T09:57:26Z</dcterms:created>
  <dcterms:modified xsi:type="dcterms:W3CDTF">2026-04-19T14:54:52Z</dcterms:modified>
</cp:coreProperties>
</file>